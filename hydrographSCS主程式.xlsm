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6661\Desktop\TESTING SOFTWARE\hydrographSCS 1.0\"/>
    </mc:Choice>
  </mc:AlternateContent>
  <xr:revisionPtr revIDLastSave="0" documentId="13_ncr:1_{74471258-DEE1-48A7-9DD5-9AF024277F80}" xr6:coauthVersionLast="47" xr6:coauthVersionMax="47" xr10:uidLastSave="{00000000-0000-0000-0000-000000000000}"/>
  <workbookProtection workbookAlgorithmName="SHA-512" workbookHashValue="tchZyO0txKO8gkUkosrM3u+rzouKxjuCS/fzj4hJCrPmBi5Sw0MxcO9QVo9KvH6tZNWaB5GrGuUNl4D/VkmAcQ==" workbookSaltValue="oRnWsXOpK/CrtFQvnCo+IA==" workbookSpinCount="100000" lockStructure="1"/>
  <bookViews>
    <workbookView xWindow="-108" yWindow="-108" windowWidth="23256" windowHeight="12576" xr2:uid="{00000000-000D-0000-FFFF-FFFF00000000}"/>
  </bookViews>
  <sheets>
    <sheet name="計算程式主頁面" sheetId="1" r:id="rId1"/>
    <sheet name="rainfall" sheetId="2" r:id="rId2"/>
    <sheet name="subcatchment" sheetId="4" r:id="rId3"/>
    <sheet name="separate" sheetId="3" r:id="rId4"/>
    <sheet name="times" sheetId="5" r:id="rId5"/>
    <sheet name="(計算紙)" sheetId="20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4" l="1"/>
  <c r="F4" i="4"/>
  <c r="F2" i="4"/>
  <c r="A2" i="4"/>
  <c r="F3" i="4" l="1"/>
  <c r="E2" i="3" l="1"/>
  <c r="M6" i="1" s="1"/>
  <c r="M5" i="1" l="1"/>
</calcChain>
</file>

<file path=xl/sharedStrings.xml><?xml version="1.0" encoding="utf-8"?>
<sst xmlns="http://schemas.openxmlformats.org/spreadsheetml/2006/main" count="203" uniqueCount="56">
  <si>
    <t>2y</t>
  </si>
  <si>
    <t>5y</t>
  </si>
  <si>
    <t>10y</t>
  </si>
  <si>
    <t>a</t>
  </si>
  <si>
    <t>b</t>
  </si>
  <si>
    <t>c</t>
  </si>
  <si>
    <t>R24(mm)</t>
  </si>
  <si>
    <t>流入節點</t>
  </si>
  <si>
    <t>集水區數量</t>
  </si>
  <si>
    <t>集水區ID</t>
  </si>
  <si>
    <t>說明</t>
  </si>
  <si>
    <t>CN加權</t>
  </si>
  <si>
    <t>Tc(hr)</t>
  </si>
  <si>
    <t>使否分割(是1/否0)</t>
  </si>
  <si>
    <t>10/16/2019</t>
  </si>
  <si>
    <t>10/17/2019</t>
  </si>
  <si>
    <t>horner</t>
    <phoneticPr fontId="3" type="noConversion"/>
  </si>
  <si>
    <t>保護密碼:</t>
    <phoneticPr fontId="3" type="noConversion"/>
  </si>
  <si>
    <t>注意事項:</t>
    <phoneticPr fontId="3" type="noConversion"/>
  </si>
  <si>
    <t>1. rainfall/subcatchment/separate/times 4個worksheets表單的表單名稱(ex:rainfall)請勿改動</t>
    <phoneticPr fontId="3" type="noConversion"/>
  </si>
  <si>
    <t>集水區數量:</t>
    <phoneticPr fontId="3" type="noConversion"/>
  </si>
  <si>
    <t>分割後集水區數量:</t>
    <phoneticPr fontId="3" type="noConversion"/>
  </si>
  <si>
    <t>2. 注意集水區數量以及分割的集水區數量(詳下表)是否正確</t>
    <phoneticPr fontId="3" type="noConversion"/>
  </si>
  <si>
    <t>3. 資料夾內其餘檔案請勿刪除或改動</t>
    <phoneticPr fontId="3" type="noConversion"/>
  </si>
  <si>
    <t>分割後集水區數量</t>
    <phoneticPr fontId="3" type="noConversion"/>
  </si>
  <si>
    <t>AgeOfEmpires2</t>
    <phoneticPr fontId="3" type="noConversion"/>
  </si>
  <si>
    <t>安裝方式:</t>
    <phoneticPr fontId="3" type="noConversion"/>
  </si>
  <si>
    <t>3.電腦中最好只有一個R的版本</t>
    <phoneticPr fontId="3" type="noConversion"/>
  </si>
  <si>
    <t>(必需大於1)</t>
    <phoneticPr fontId="3" type="noConversion"/>
  </si>
  <si>
    <t>2743-21</t>
  </si>
  <si>
    <t>2743-20</t>
  </si>
  <si>
    <t>2744-F2</t>
    <phoneticPr fontId="3" type="noConversion"/>
  </si>
  <si>
    <t>2.在電腦環境變數中path新增R的路徑(EX： C:\Program Files\R\R-4.0.0\bin)，設定完成後重新啟動電腦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</si>
  <si>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</si>
  <si>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</si>
  <si>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</si>
  <si>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</si>
  <si>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4.執行畫歷線圖的功能前必須安裝畫歷線圖套件，若無法安裝請手動執行installPackage.R。</t>
    <phoneticPr fontId="3" type="noConversion"/>
  </si>
  <si>
    <t>版本：</t>
    <phoneticPr fontId="3" type="noConversion"/>
  </si>
  <si>
    <t>軟體名稱：hydrographSCS</t>
    <phoneticPr fontId="3" type="noConversion"/>
  </si>
  <si>
    <t>Area(ha)</t>
    <phoneticPr fontId="3" type="noConversion"/>
  </si>
  <si>
    <t>分割後集水區ID</t>
    <phoneticPr fontId="3" type="noConversion"/>
  </si>
  <si>
    <t>分割前集水區ID</t>
    <phoneticPr fontId="3" type="noConversion"/>
  </si>
  <si>
    <t>A1</t>
    <phoneticPr fontId="3" type="noConversion"/>
  </si>
  <si>
    <t>A2</t>
    <phoneticPr fontId="3" type="noConversion"/>
  </si>
  <si>
    <t>A3</t>
    <phoneticPr fontId="3" type="noConversion"/>
  </si>
  <si>
    <t>A4</t>
    <phoneticPr fontId="3" type="noConversion"/>
  </si>
  <si>
    <t>A區</t>
    <phoneticPr fontId="3" type="noConversion"/>
  </si>
  <si>
    <t>B區</t>
    <phoneticPr fontId="3" type="noConversion"/>
  </si>
  <si>
    <t>C區</t>
    <phoneticPr fontId="3" type="noConversion"/>
  </si>
  <si>
    <t>D區</t>
    <phoneticPr fontId="3" type="noConversion"/>
  </si>
  <si>
    <t>CA</t>
    <phoneticPr fontId="3" type="noConversion"/>
  </si>
  <si>
    <t>BA</t>
    <phoneticPr fontId="3" type="noConversion"/>
  </si>
  <si>
    <t>BB</t>
    <phoneticPr fontId="3" type="noConversion"/>
  </si>
  <si>
    <t>1.0</t>
    <phoneticPr fontId="3" type="noConversion"/>
  </si>
  <si>
    <t>1.安裝R4.0.X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</si>
</sst>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15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1"/>
      <color rgb="FFFF0000"/>
      <name val="新細明體"/>
      <family val="2"/>
      <scheme val="minor"/>
    </font>
    <font>
      <sz val="12"/>
      <color rgb="FF9C5700"/>
      <name val="新細明體"/>
      <family val="2"/>
      <charset val="136"/>
      <scheme val="minor"/>
    </font>
    <font>
      <b/>
      <sz val="16"/>
      <color rgb="FF000000"/>
      <name val="微軟正黑體"/>
      <family val="2"/>
      <charset val="136"/>
    </font>
    <font>
      <b/>
      <sz val="24"/>
      <color rgb="FF000000"/>
      <name val="微軟正黑體"/>
      <family val="2"/>
      <charset val="136"/>
    </font>
    <font>
      <b/>
      <sz val="14"/>
      <color rgb="FF000000"/>
      <name val="微軟正黑體"/>
      <family val="2"/>
      <charset val="136"/>
    </font>
    <font>
      <sz val="11"/>
      <color theme="0" tint="-0.14999847407452621"/>
      <name val="新細明體"/>
      <family val="1"/>
      <charset val="136"/>
      <scheme val="minor"/>
    </font>
    <font>
      <sz val="11"/>
      <color theme="0" tint="-0.14999847407452621"/>
      <name val="新細明體"/>
      <family val="2"/>
      <charset val="136"/>
    </font>
    <font>
      <sz val="11"/>
      <color theme="0" tint="-0.14999847407452621"/>
      <name val="新細明體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3" borderId="1" applyNumberFormat="0" applyAlignment="0" applyProtection="0">
      <alignment vertical="center"/>
    </xf>
    <xf numFmtId="0" fontId="2" fillId="0" borderId="0">
      <alignment vertical="center"/>
    </xf>
    <xf numFmtId="0" fontId="8" fillId="5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42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horizontal="right"/>
    </xf>
    <xf numFmtId="0" fontId="0" fillId="2" borderId="0" xfId="0" applyFill="1" applyBorder="1"/>
    <xf numFmtId="0" fontId="0" fillId="2" borderId="0" xfId="0" applyFill="1" applyAlignment="1">
      <alignment horizontal="right"/>
    </xf>
    <xf numFmtId="176" fontId="0" fillId="2" borderId="0" xfId="0" applyNumberFormat="1" applyFill="1" applyBorder="1"/>
    <xf numFmtId="0" fontId="4" fillId="3" borderId="2" xfId="1" applyBorder="1" applyAlignment="1" applyProtection="1">
      <alignment horizontal="center" vertical="center"/>
    </xf>
    <xf numFmtId="0" fontId="2" fillId="0" borderId="2" xfId="2" applyFill="1" applyBorder="1" applyAlignment="1" applyProtection="1">
      <alignment horizontal="center" vertical="center"/>
      <protection locked="0"/>
    </xf>
    <xf numFmtId="20" fontId="2" fillId="0" borderId="2" xfId="2" applyNumberFormat="1" applyFill="1" applyBorder="1" applyAlignment="1" applyProtection="1">
      <alignment horizontal="center" vertical="center"/>
      <protection locked="0"/>
    </xf>
    <xf numFmtId="0" fontId="5" fillId="4" borderId="0" xfId="2" applyFont="1" applyFill="1">
      <alignment vertical="center"/>
    </xf>
    <xf numFmtId="0" fontId="5" fillId="4" borderId="0" xfId="2" applyFont="1" applyFill="1" applyAlignment="1">
      <alignment horizontal="center" vertical="center"/>
    </xf>
    <xf numFmtId="0" fontId="6" fillId="0" borderId="2" xfId="2" applyFont="1" applyFill="1" applyBorder="1" applyAlignment="1" applyProtection="1">
      <alignment horizontal="center" vertical="center"/>
      <protection locked="0"/>
    </xf>
    <xf numFmtId="0" fontId="4" fillId="3" borderId="4" xfId="1" applyBorder="1" applyAlignment="1" applyProtection="1">
      <alignment horizontal="center" vertical="center"/>
    </xf>
    <xf numFmtId="0" fontId="4" fillId="3" borderId="5" xfId="1" applyBorder="1" applyAlignment="1">
      <alignment horizontal="center" vertical="center"/>
    </xf>
    <xf numFmtId="0" fontId="4" fillId="4" borderId="1" xfId="1" applyFill="1" applyAlignment="1">
      <alignment horizontal="center" vertical="center"/>
    </xf>
    <xf numFmtId="0" fontId="4" fillId="4" borderId="6" xfId="1" applyFill="1" applyBorder="1" applyAlignment="1">
      <alignment horizontal="center" vertical="center"/>
    </xf>
    <xf numFmtId="0" fontId="2" fillId="4" borderId="0" xfId="2" applyFill="1">
      <alignment vertical="center"/>
    </xf>
    <xf numFmtId="0" fontId="4" fillId="4" borderId="3" xfId="1" applyFill="1" applyBorder="1" applyAlignment="1">
      <alignment horizontal="center" vertical="center"/>
    </xf>
    <xf numFmtId="0" fontId="2" fillId="4" borderId="0" xfId="2" applyFill="1" applyAlignment="1">
      <alignment horizontal="center" vertical="center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 applyAlignment="1">
      <alignment horizontal="right"/>
    </xf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 applyAlignment="1">
      <alignment horizontal="right"/>
    </xf>
    <xf numFmtId="0" fontId="4" fillId="3" borderId="1" xfId="1" applyAlignment="1" applyProtection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6" fillId="0" borderId="2" xfId="2" applyFont="1" applyFill="1" applyBorder="1" applyAlignment="1" applyProtection="1">
      <alignment horizontal="center" vertical="center"/>
    </xf>
    <xf numFmtId="0" fontId="4" fillId="3" borderId="6" xfId="1" applyBorder="1" applyAlignment="1" applyProtection="1">
      <alignment horizontal="center" vertical="center"/>
    </xf>
    <xf numFmtId="0" fontId="2" fillId="0" borderId="13" xfId="2" applyFill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2" fontId="6" fillId="0" borderId="2" xfId="2" applyNumberFormat="1" applyFont="1" applyFill="1" applyBorder="1" applyAlignment="1" applyProtection="1">
      <alignment horizontal="center" vertical="center"/>
      <protection locked="0"/>
    </xf>
    <xf numFmtId="17" fontId="6" fillId="0" borderId="2" xfId="2" applyNumberFormat="1" applyFont="1" applyFill="1" applyBorder="1" applyAlignment="1" applyProtection="1">
      <alignment horizontal="center" vertical="center"/>
      <protection locked="0"/>
    </xf>
    <xf numFmtId="0" fontId="0" fillId="2" borderId="0" xfId="0" quotePrefix="1" applyFill="1"/>
    <xf numFmtId="0" fontId="12" fillId="2" borderId="0" xfId="0" applyFont="1" applyFill="1" applyAlignment="1">
      <alignment horizontal="right"/>
    </xf>
    <xf numFmtId="0" fontId="12" fillId="2" borderId="0" xfId="0" applyFont="1" applyFill="1"/>
    <xf numFmtId="0" fontId="12" fillId="2" borderId="0" xfId="0" applyFont="1" applyFill="1" applyBorder="1" applyAlignment="1">
      <alignment horizontal="right"/>
    </xf>
    <xf numFmtId="0" fontId="12" fillId="2" borderId="0" xfId="0" applyFont="1" applyFill="1" applyBorder="1" applyAlignment="1">
      <alignment horizontal="left"/>
    </xf>
    <xf numFmtId="0" fontId="13" fillId="2" borderId="0" xfId="0" applyFont="1" applyFill="1" applyBorder="1" applyAlignment="1">
      <alignment horizontal="right"/>
    </xf>
    <xf numFmtId="0" fontId="14" fillId="2" borderId="0" xfId="0" applyFont="1" applyFill="1" applyBorder="1"/>
  </cellXfs>
  <cellStyles count="5">
    <cellStyle name="一般" xfId="0" builtinId="0"/>
    <cellStyle name="一般 2" xfId="2" xr:uid="{00000000-0005-0000-0000-000001000000}"/>
    <cellStyle name="一般 2 2" xfId="4" xr:uid="{00000000-0005-0000-0000-000002000000}"/>
    <cellStyle name="中等 2" xfId="3" xr:uid="{00000000-0005-0000-0000-000003000000}"/>
    <cellStyle name="計算方式" xfId="1" builtinId="2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4</xdr:row>
          <xdr:rowOff>160020</xdr:rowOff>
        </xdr:from>
        <xdr:to>
          <xdr:col>6</xdr:col>
          <xdr:colOff>60960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zh-TW" altLang="en-US" sz="24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run</a:t>
              </a:r>
              <a:endParaRPr lang="zh-TW" altLang="en-US" sz="1400" b="1" i="0" u="none" strike="noStrike" baseline="0">
                <a:solidFill>
                  <a:srgbClr val="000000"/>
                </a:solidFill>
                <a:latin typeface="微軟正黑體"/>
                <a:ea typeface="微軟正黑體"/>
              </a:endParaRPr>
            </a:p>
            <a:p>
              <a:pPr algn="ctr" rtl="0">
                <a:defRPr sz="1000"/>
              </a:pPr>
              <a:r>
                <a:rPr lang="zh-TW" altLang="en-US" sz="14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(以SCS單位歷線</a:t>
              </a:r>
            </a:p>
            <a:p>
              <a:pPr algn="ctr" rtl="0">
                <a:defRPr sz="1000"/>
              </a:pPr>
              <a:r>
                <a:rPr lang="zh-TW" altLang="en-US" sz="14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計算逕流歷線)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14</xdr:row>
          <xdr:rowOff>99060</xdr:rowOff>
        </xdr:from>
        <xdr:to>
          <xdr:col>6</xdr:col>
          <xdr:colOff>60960</xdr:colOff>
          <xdr:row>17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畫歷線圖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18</xdr:row>
          <xdr:rowOff>0</xdr:rowOff>
        </xdr:from>
        <xdr:to>
          <xdr:col>6</xdr:col>
          <xdr:colOff>60960</xdr:colOff>
          <xdr:row>20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安裝畫歷線圖套件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22"/>
  <sheetViews>
    <sheetView tabSelected="1" zoomScale="85" zoomScaleNormal="85" workbookViewId="0">
      <selection activeCell="T25" sqref="T25"/>
    </sheetView>
  </sheetViews>
  <sheetFormatPr defaultColWidth="9" defaultRowHeight="15"/>
  <cols>
    <col min="1" max="5" width="9" style="1"/>
    <col min="6" max="6" width="9.625" style="1" bestFit="1" customWidth="1"/>
    <col min="7" max="7" width="9" style="1"/>
    <col min="8" max="8" width="15.375" style="1" customWidth="1"/>
    <col min="9" max="16384" width="9" style="1"/>
  </cols>
  <sheetData>
    <row r="1" spans="1:14">
      <c r="A1" s="1" t="s">
        <v>39</v>
      </c>
      <c r="F1" s="2"/>
      <c r="G1" s="3"/>
      <c r="H1" s="2"/>
      <c r="I1" s="40" t="s">
        <v>17</v>
      </c>
      <c r="J1" s="41" t="s">
        <v>25</v>
      </c>
    </row>
    <row r="2" spans="1:14">
      <c r="A2" s="1" t="s">
        <v>38</v>
      </c>
      <c r="B2" s="35" t="s">
        <v>54</v>
      </c>
      <c r="F2" s="4"/>
      <c r="G2" s="4"/>
      <c r="H2" s="4"/>
    </row>
    <row r="3" spans="1:14">
      <c r="F3" s="2"/>
      <c r="G3" s="3"/>
      <c r="H3" s="2"/>
      <c r="I3" s="4" t="s">
        <v>18</v>
      </c>
      <c r="J3" s="1" t="s">
        <v>19</v>
      </c>
    </row>
    <row r="4" spans="1:14">
      <c r="F4" s="2"/>
      <c r="G4" s="3"/>
      <c r="H4" s="2"/>
      <c r="I4" s="3"/>
      <c r="J4" s="3" t="s">
        <v>22</v>
      </c>
    </row>
    <row r="5" spans="1:14">
      <c r="F5" s="2"/>
      <c r="G5" s="3"/>
      <c r="H5" s="2"/>
      <c r="I5" s="2"/>
      <c r="J5" s="22"/>
      <c r="K5" s="23"/>
      <c r="L5" s="24" t="s">
        <v>20</v>
      </c>
      <c r="M5" s="26">
        <f>subcatchment!A2</f>
        <v>4</v>
      </c>
    </row>
    <row r="6" spans="1:14">
      <c r="F6" s="2"/>
      <c r="G6" s="3"/>
      <c r="H6" s="2"/>
      <c r="J6" s="19"/>
      <c r="K6" s="20"/>
      <c r="L6" s="21" t="s">
        <v>21</v>
      </c>
      <c r="M6" s="27">
        <f>separate!E2</f>
        <v>3</v>
      </c>
      <c r="N6" s="1" t="s">
        <v>28</v>
      </c>
    </row>
    <row r="7" spans="1:14">
      <c r="F7" s="2"/>
      <c r="G7" s="5"/>
      <c r="H7" s="2"/>
      <c r="J7" s="3" t="s">
        <v>23</v>
      </c>
    </row>
    <row r="8" spans="1:14">
      <c r="F8" s="2"/>
      <c r="G8" s="5"/>
      <c r="H8" s="2"/>
      <c r="I8" s="4" t="s">
        <v>26</v>
      </c>
      <c r="J8" s="1" t="s">
        <v>55</v>
      </c>
    </row>
    <row r="9" spans="1:14">
      <c r="H9" s="2"/>
      <c r="J9" s="1" t="s">
        <v>32</v>
      </c>
    </row>
    <row r="10" spans="1:14">
      <c r="H10" s="2"/>
      <c r="J10" s="1" t="s">
        <v>27</v>
      </c>
      <c r="K10" s="2"/>
      <c r="L10" s="2"/>
      <c r="M10" s="2"/>
    </row>
    <row r="11" spans="1:14">
      <c r="H11" s="2"/>
      <c r="J11" s="1" t="s">
        <v>37</v>
      </c>
      <c r="L11" s="2"/>
      <c r="M11" s="2"/>
    </row>
    <row r="12" spans="1:14">
      <c r="B12" s="4"/>
      <c r="H12" s="2"/>
      <c r="I12" s="36"/>
      <c r="J12" s="37"/>
      <c r="K12" s="2"/>
      <c r="L12" s="2"/>
      <c r="M12" s="2"/>
    </row>
    <row r="13" spans="1:14">
      <c r="I13" s="37"/>
      <c r="J13" s="37"/>
      <c r="K13" s="2"/>
      <c r="L13" s="2"/>
      <c r="M13" s="2"/>
    </row>
    <row r="14" spans="1:14">
      <c r="I14" s="38"/>
      <c r="J14" s="39"/>
      <c r="K14" s="2"/>
      <c r="L14" s="2"/>
      <c r="M14" s="2"/>
    </row>
    <row r="15" spans="1:14">
      <c r="I15" s="38"/>
      <c r="J15" s="39"/>
      <c r="K15" s="2"/>
    </row>
    <row r="16" spans="1:14">
      <c r="F16" s="2"/>
      <c r="I16" s="38"/>
      <c r="J16" s="39"/>
    </row>
    <row r="17" spans="9:10">
      <c r="I17" s="38"/>
      <c r="J17" s="39"/>
    </row>
    <row r="18" spans="9:10">
      <c r="I18" s="37"/>
      <c r="J18" s="37"/>
    </row>
    <row r="19" spans="9:10">
      <c r="I19" s="37"/>
      <c r="J19" s="37"/>
    </row>
    <row r="20" spans="9:10">
      <c r="I20" s="37"/>
      <c r="J20" s="37"/>
    </row>
    <row r="21" spans="9:10">
      <c r="I21" s="37"/>
      <c r="J21" s="37"/>
    </row>
    <row r="22" spans="9:10">
      <c r="I22" s="37"/>
      <c r="J22" s="37"/>
    </row>
  </sheetData>
  <sheetProtection algorithmName="SHA-512" hashValue="B618VCc2LfAyaYeXO67gCZlLHKecp7FCZFN14EKyVUtsTGivbMK9hV/R3RhTMy63DlMxuu+MOwZhRLvyEKYeTg==" saltValue="k0agM9zEgGILFvDj/5W8HQ==" spinCount="100000" sheet="1" objects="1" scenarios="1"/>
  <phoneticPr fontId="3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sHyd">
                <anchor moveWithCells="1">
                  <from>
                    <xdr:col>1</xdr:col>
                    <xdr:colOff>312420</xdr:colOff>
                    <xdr:row>4</xdr:row>
                    <xdr:rowOff>160020</xdr:rowOff>
                  </from>
                  <to>
                    <xdr:col>6</xdr:col>
                    <xdr:colOff>60960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rawHyd">
                <anchor moveWithCells="1">
                  <from>
                    <xdr:col>1</xdr:col>
                    <xdr:colOff>312420</xdr:colOff>
                    <xdr:row>14</xdr:row>
                    <xdr:rowOff>99060</xdr:rowOff>
                  </from>
                  <to>
                    <xdr:col>6</xdr:col>
                    <xdr:colOff>60960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stallPackage">
                <anchor moveWithCells="1">
                  <from>
                    <xdr:col>1</xdr:col>
                    <xdr:colOff>312420</xdr:colOff>
                    <xdr:row>18</xdr:row>
                    <xdr:rowOff>0</xdr:rowOff>
                  </from>
                  <to>
                    <xdr:col>6</xdr:col>
                    <xdr:colOff>60960</xdr:colOff>
                    <xdr:row>20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5"/>
  <sheetViews>
    <sheetView workbookViewId="0">
      <selection activeCell="B6" sqref="B6"/>
    </sheetView>
  </sheetViews>
  <sheetFormatPr defaultColWidth="9" defaultRowHeight="16.2"/>
  <cols>
    <col min="1" max="1" width="15.625" style="18" customWidth="1"/>
    <col min="2" max="4" width="9" style="18"/>
    <col min="5" max="16384" width="9" style="16"/>
  </cols>
  <sheetData>
    <row r="1" spans="1:4">
      <c r="A1" s="14" t="s">
        <v>16</v>
      </c>
      <c r="B1" s="15" t="s">
        <v>0</v>
      </c>
      <c r="C1" s="15" t="s">
        <v>1</v>
      </c>
      <c r="D1" s="15" t="s">
        <v>2</v>
      </c>
    </row>
    <row r="2" spans="1:4">
      <c r="A2" s="17" t="s">
        <v>3</v>
      </c>
      <c r="B2" s="7">
        <v>1472.165</v>
      </c>
      <c r="C2" s="7">
        <v>1320.174</v>
      </c>
      <c r="D2" s="7">
        <v>1120.6079999999999</v>
      </c>
    </row>
    <row r="3" spans="1:4">
      <c r="A3" s="17" t="s">
        <v>4</v>
      </c>
      <c r="B3" s="7">
        <v>17.948</v>
      </c>
      <c r="C3" s="7">
        <v>16.834</v>
      </c>
      <c r="D3" s="7">
        <v>14.792999999999999</v>
      </c>
    </row>
    <row r="4" spans="1:4">
      <c r="A4" s="17" t="s">
        <v>5</v>
      </c>
      <c r="B4" s="7">
        <v>0.75</v>
      </c>
      <c r="C4" s="7">
        <v>0.67400000000000004</v>
      </c>
      <c r="D4" s="7">
        <v>0.61799999999999999</v>
      </c>
    </row>
    <row r="5" spans="1:4">
      <c r="A5" s="17" t="s">
        <v>6</v>
      </c>
      <c r="B5" s="7">
        <v>140</v>
      </c>
      <c r="C5" s="7">
        <v>202</v>
      </c>
      <c r="D5" s="7">
        <v>243</v>
      </c>
    </row>
  </sheetData>
  <sheetProtection algorithmName="SHA-512" hashValue="IQHem0vnpXw3NtCiN+ZYB/HSyj/c67OYkA8kOEaa3MFBa4gwMi0v2EfUcnoW6Ft2lt6HUpzK2GBtozSkouGYwA==" saltValue="TEEZqcqYn7PXP+43rox4fw==" spinCount="100000" sheet="1" objects="1" scenarios="1"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G33"/>
  <sheetViews>
    <sheetView workbookViewId="0">
      <selection activeCell="F6" sqref="F6"/>
    </sheetView>
  </sheetViews>
  <sheetFormatPr defaultColWidth="9" defaultRowHeight="16.2"/>
  <cols>
    <col min="1" max="1" width="21.625" style="10" customWidth="1"/>
    <col min="2" max="7" width="21.625" style="11" customWidth="1"/>
    <col min="8" max="16384" width="9" style="9"/>
  </cols>
  <sheetData>
    <row r="1" spans="1:7">
      <c r="A1" s="12" t="s">
        <v>8</v>
      </c>
      <c r="B1" s="6" t="s">
        <v>9</v>
      </c>
      <c r="C1" s="6" t="s">
        <v>10</v>
      </c>
      <c r="D1" s="6" t="s">
        <v>40</v>
      </c>
      <c r="E1" s="6" t="s">
        <v>11</v>
      </c>
      <c r="F1" s="6" t="s">
        <v>12</v>
      </c>
      <c r="G1" s="6" t="s">
        <v>7</v>
      </c>
    </row>
    <row r="2" spans="1:7">
      <c r="A2" s="28">
        <f>COUNTA(B:B)-1</f>
        <v>4</v>
      </c>
      <c r="B2" s="31" t="s">
        <v>33</v>
      </c>
      <c r="C2" s="34" t="s">
        <v>47</v>
      </c>
      <c r="D2" s="11">
        <v>0.08</v>
      </c>
      <c r="E2" s="33">
        <v>90</v>
      </c>
      <c r="F2" s="11">
        <f>5/60</f>
        <v>8.3333333333333329E-2</v>
      </c>
      <c r="G2" s="31" t="s">
        <v>43</v>
      </c>
    </row>
    <row r="3" spans="1:7">
      <c r="A3" s="13" t="s">
        <v>13</v>
      </c>
      <c r="B3" s="31" t="s">
        <v>34</v>
      </c>
      <c r="C3" s="34" t="s">
        <v>48</v>
      </c>
      <c r="D3" s="11">
        <v>2.5</v>
      </c>
      <c r="E3" s="33">
        <v>90</v>
      </c>
      <c r="F3" s="11">
        <f>10/60</f>
        <v>0.16666666666666666</v>
      </c>
      <c r="G3" s="31" t="s">
        <v>44</v>
      </c>
    </row>
    <row r="4" spans="1:7">
      <c r="A4" s="11">
        <v>1</v>
      </c>
      <c r="B4" s="31" t="s">
        <v>35</v>
      </c>
      <c r="C4" s="34" t="s">
        <v>49</v>
      </c>
      <c r="D4" s="11">
        <v>2.67</v>
      </c>
      <c r="E4" s="33">
        <v>70</v>
      </c>
      <c r="F4" s="11">
        <f>10/60</f>
        <v>0.16666666666666666</v>
      </c>
      <c r="G4" s="31" t="s">
        <v>45</v>
      </c>
    </row>
    <row r="5" spans="1:7">
      <c r="B5" s="31" t="s">
        <v>36</v>
      </c>
      <c r="C5" s="34" t="s">
        <v>50</v>
      </c>
      <c r="D5" s="11">
        <v>10</v>
      </c>
      <c r="E5" s="33">
        <v>79</v>
      </c>
      <c r="F5" s="11">
        <f>15/60</f>
        <v>0.25</v>
      </c>
      <c r="G5" s="31" t="s">
        <v>46</v>
      </c>
    </row>
    <row r="6" spans="1:7">
      <c r="B6" s="31"/>
      <c r="C6" s="34"/>
      <c r="E6" s="33"/>
      <c r="G6" s="31"/>
    </row>
    <row r="7" spans="1:7">
      <c r="B7" s="31"/>
      <c r="C7" s="34"/>
      <c r="E7" s="33"/>
      <c r="G7" s="31"/>
    </row>
    <row r="8" spans="1:7">
      <c r="B8" s="31"/>
      <c r="C8" s="34"/>
      <c r="E8" s="33"/>
      <c r="G8" s="31"/>
    </row>
    <row r="9" spans="1:7">
      <c r="B9" s="31"/>
      <c r="C9" s="34"/>
      <c r="E9" s="33"/>
      <c r="G9" s="31"/>
    </row>
    <row r="10" spans="1:7">
      <c r="B10" s="31"/>
      <c r="C10" s="34"/>
      <c r="E10" s="33"/>
      <c r="G10" s="31"/>
    </row>
    <row r="11" spans="1:7">
      <c r="B11" s="31"/>
      <c r="C11" s="34"/>
      <c r="E11" s="33"/>
      <c r="G11" s="31"/>
    </row>
    <row r="12" spans="1:7">
      <c r="B12" s="31"/>
      <c r="C12" s="34"/>
      <c r="E12" s="33"/>
      <c r="G12" s="31"/>
    </row>
    <row r="13" spans="1:7">
      <c r="B13" s="31"/>
      <c r="C13" s="34"/>
      <c r="E13" s="33"/>
      <c r="G13" s="31"/>
    </row>
    <row r="14" spans="1:7">
      <c r="B14" s="31"/>
      <c r="C14" s="34"/>
      <c r="E14" s="33"/>
      <c r="G14" s="31"/>
    </row>
    <row r="15" spans="1:7">
      <c r="B15" s="31"/>
      <c r="C15" s="34"/>
      <c r="E15" s="33"/>
      <c r="G15" s="31"/>
    </row>
    <row r="16" spans="1:7">
      <c r="B16" s="31"/>
      <c r="C16" s="34"/>
      <c r="E16" s="33"/>
      <c r="G16" s="31"/>
    </row>
    <row r="17" spans="2:7">
      <c r="B17" s="31"/>
      <c r="C17" s="34"/>
      <c r="E17" s="33"/>
      <c r="G17" s="31"/>
    </row>
    <row r="18" spans="2:7">
      <c r="B18" s="31"/>
      <c r="C18" s="34"/>
      <c r="E18" s="33"/>
      <c r="G18" s="31"/>
    </row>
    <row r="19" spans="2:7">
      <c r="B19" s="31"/>
      <c r="C19" s="34"/>
      <c r="E19" s="33"/>
      <c r="G19" s="31"/>
    </row>
    <row r="20" spans="2:7">
      <c r="B20" s="31"/>
      <c r="C20" s="34"/>
      <c r="E20" s="33"/>
      <c r="G20" s="31"/>
    </row>
    <row r="21" spans="2:7">
      <c r="B21" s="31"/>
      <c r="C21" s="34"/>
      <c r="E21" s="33"/>
      <c r="G21" s="31"/>
    </row>
    <row r="22" spans="2:7">
      <c r="B22" s="31"/>
      <c r="C22" s="34"/>
      <c r="E22" s="33"/>
      <c r="G22" s="31"/>
    </row>
    <row r="23" spans="2:7">
      <c r="B23" s="31"/>
      <c r="C23" s="34"/>
      <c r="E23" s="33"/>
      <c r="G23" s="31"/>
    </row>
    <row r="24" spans="2:7">
      <c r="B24" s="31"/>
      <c r="C24" s="34"/>
      <c r="E24" s="33"/>
      <c r="G24" s="31"/>
    </row>
    <row r="25" spans="2:7">
      <c r="B25" s="31"/>
      <c r="C25" s="34"/>
      <c r="E25" s="33"/>
      <c r="G25" s="31"/>
    </row>
    <row r="26" spans="2:7">
      <c r="B26" s="31"/>
      <c r="C26" s="34"/>
      <c r="E26" s="33"/>
      <c r="G26" s="31"/>
    </row>
    <row r="27" spans="2:7">
      <c r="B27" s="31"/>
      <c r="C27" s="34"/>
      <c r="E27" s="33"/>
      <c r="G27" s="31"/>
    </row>
    <row r="28" spans="2:7">
      <c r="B28" s="31"/>
      <c r="C28" s="34"/>
      <c r="E28" s="33"/>
      <c r="G28" s="31"/>
    </row>
    <row r="29" spans="2:7">
      <c r="E29" s="33"/>
    </row>
    <row r="30" spans="2:7">
      <c r="E30" s="33"/>
    </row>
    <row r="31" spans="2:7">
      <c r="E31" s="33"/>
    </row>
    <row r="32" spans="2:7">
      <c r="E32" s="33"/>
    </row>
    <row r="33" spans="5:5">
      <c r="E33" s="33"/>
    </row>
  </sheetData>
  <sheetProtection algorithmName="SHA-512" hashValue="E5P25Datm58UMqUDOUGzZb/D9Z+ecKbVxgtQF4m3jZT97QtgWYVu61HYdxXFZixU73SyouHSG7/DD1NwAYiRyA==" saltValue="HsJmy5c9ZEsDvSnmNHsHGA==" spinCount="100000" sheet="1" objects="1" scenarios="1"/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E15"/>
  <sheetViews>
    <sheetView workbookViewId="0">
      <selection activeCell="C5" sqref="C5"/>
    </sheetView>
  </sheetViews>
  <sheetFormatPr defaultColWidth="9" defaultRowHeight="16.2"/>
  <cols>
    <col min="1" max="4" width="20.625" style="7" customWidth="1"/>
    <col min="5" max="5" width="23.375" style="16" customWidth="1"/>
    <col min="6" max="16384" width="9" style="16"/>
  </cols>
  <sheetData>
    <row r="1" spans="1:5">
      <c r="A1" s="25" t="s">
        <v>42</v>
      </c>
      <c r="B1" s="29" t="s">
        <v>41</v>
      </c>
      <c r="C1" s="29" t="s">
        <v>40</v>
      </c>
      <c r="D1" s="12" t="s">
        <v>7</v>
      </c>
      <c r="E1" s="6" t="s">
        <v>24</v>
      </c>
    </row>
    <row r="2" spans="1:5">
      <c r="A2" s="31" t="s">
        <v>34</v>
      </c>
      <c r="B2" s="31" t="s">
        <v>52</v>
      </c>
      <c r="C2" s="11">
        <v>1</v>
      </c>
      <c r="D2" s="31" t="s">
        <v>31</v>
      </c>
      <c r="E2" s="30">
        <f>COUNTA(separate!A:A)-1</f>
        <v>3</v>
      </c>
    </row>
    <row r="3" spans="1:5">
      <c r="A3" s="31" t="s">
        <v>34</v>
      </c>
      <c r="B3" s="31" t="s">
        <v>53</v>
      </c>
      <c r="C3" s="11">
        <v>1.5</v>
      </c>
      <c r="D3" s="31" t="s">
        <v>29</v>
      </c>
    </row>
    <row r="4" spans="1:5">
      <c r="A4" s="31" t="s">
        <v>35</v>
      </c>
      <c r="B4" s="31" t="s">
        <v>51</v>
      </c>
      <c r="C4" s="11">
        <v>2</v>
      </c>
      <c r="D4" s="31" t="s">
        <v>30</v>
      </c>
    </row>
    <row r="5" spans="1:5">
      <c r="A5" s="31"/>
      <c r="B5" s="31"/>
      <c r="C5" s="11"/>
      <c r="D5" s="31"/>
    </row>
    <row r="6" spans="1:5">
      <c r="A6" s="31"/>
      <c r="B6" s="31"/>
      <c r="C6" s="11"/>
      <c r="D6" s="31"/>
    </row>
    <row r="7" spans="1:5">
      <c r="A7" s="31"/>
      <c r="B7" s="31"/>
      <c r="C7" s="11"/>
      <c r="D7" s="31"/>
    </row>
    <row r="8" spans="1:5">
      <c r="A8" s="31"/>
      <c r="B8" s="31"/>
      <c r="C8" s="11"/>
      <c r="D8" s="31"/>
    </row>
    <row r="9" spans="1:5">
      <c r="A9" s="31"/>
      <c r="B9" s="31"/>
      <c r="C9" s="11"/>
      <c r="D9" s="31"/>
    </row>
    <row r="10" spans="1:5">
      <c r="A10" s="31"/>
      <c r="B10" s="31"/>
      <c r="C10" s="32"/>
      <c r="D10" s="31"/>
    </row>
    <row r="11" spans="1:5">
      <c r="A11" s="31"/>
      <c r="B11" s="31"/>
      <c r="C11" s="32"/>
      <c r="D11" s="31"/>
    </row>
    <row r="12" spans="1:5">
      <c r="A12" s="31"/>
      <c r="B12" s="31"/>
      <c r="C12" s="32"/>
      <c r="D12" s="31"/>
    </row>
    <row r="13" spans="1:5">
      <c r="A13" s="31"/>
      <c r="B13" s="31"/>
      <c r="C13" s="32"/>
      <c r="D13" s="31"/>
    </row>
    <row r="14" spans="1:5">
      <c r="A14" s="31"/>
      <c r="B14" s="31"/>
      <c r="C14" s="32"/>
      <c r="D14" s="31"/>
    </row>
    <row r="15" spans="1:5">
      <c r="A15" s="31"/>
      <c r="B15" s="31"/>
      <c r="C15" s="32"/>
      <c r="D15" s="31"/>
    </row>
  </sheetData>
  <sheetProtection algorithmName="SHA-512" hashValue="MTFM17rMb537SfnOa2myTWEQ8bfDezMYvbBxdMiI2h4+0yCYa7FSva9kxFG6ju1VhOdzfyp90Yu1/18qQlG1MQ==" saltValue="xJJns3cK7QK6rtfK8H7b1g==" spinCount="100000" sheet="1" objects="1" scenarios="1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B144"/>
  <sheetViews>
    <sheetView workbookViewId="0">
      <selection activeCell="H28" sqref="H28"/>
    </sheetView>
  </sheetViews>
  <sheetFormatPr defaultColWidth="9" defaultRowHeight="16.2"/>
  <cols>
    <col min="1" max="1" width="15.625" style="18" customWidth="1"/>
    <col min="2" max="2" width="9" style="18"/>
    <col min="3" max="16384" width="9" style="16"/>
  </cols>
  <sheetData>
    <row r="1" spans="1:2">
      <c r="A1" s="7" t="s">
        <v>14</v>
      </c>
      <c r="B1" s="8">
        <v>6.9444444444444441E-3</v>
      </c>
    </row>
    <row r="2" spans="1:2">
      <c r="A2" s="7" t="s">
        <v>14</v>
      </c>
      <c r="B2" s="8">
        <v>1.3888888888888888E-2</v>
      </c>
    </row>
    <row r="3" spans="1:2">
      <c r="A3" s="7" t="s">
        <v>14</v>
      </c>
      <c r="B3" s="8">
        <v>2.0833333333333332E-2</v>
      </c>
    </row>
    <row r="4" spans="1:2">
      <c r="A4" s="7" t="s">
        <v>14</v>
      </c>
      <c r="B4" s="8">
        <v>2.7777777777777776E-2</v>
      </c>
    </row>
    <row r="5" spans="1:2">
      <c r="A5" s="7" t="s">
        <v>14</v>
      </c>
      <c r="B5" s="8">
        <v>3.4722222222222224E-2</v>
      </c>
    </row>
    <row r="6" spans="1:2">
      <c r="A6" s="7" t="s">
        <v>14</v>
      </c>
      <c r="B6" s="8">
        <v>4.1666666666666664E-2</v>
      </c>
    </row>
    <row r="7" spans="1:2">
      <c r="A7" s="7" t="s">
        <v>14</v>
      </c>
      <c r="B7" s="8">
        <v>4.8611111111111112E-2</v>
      </c>
    </row>
    <row r="8" spans="1:2">
      <c r="A8" s="7" t="s">
        <v>14</v>
      </c>
      <c r="B8" s="8">
        <v>5.5555555555555552E-2</v>
      </c>
    </row>
    <row r="9" spans="1:2">
      <c r="A9" s="7" t="s">
        <v>14</v>
      </c>
      <c r="B9" s="8">
        <v>6.25E-2</v>
      </c>
    </row>
    <row r="10" spans="1:2">
      <c r="A10" s="7" t="s">
        <v>14</v>
      </c>
      <c r="B10" s="8">
        <v>6.9444444444444434E-2</v>
      </c>
    </row>
    <row r="11" spans="1:2">
      <c r="A11" s="7" t="s">
        <v>14</v>
      </c>
      <c r="B11" s="8">
        <v>7.6388888888888895E-2</v>
      </c>
    </row>
    <row r="12" spans="1:2">
      <c r="A12" s="7" t="s">
        <v>14</v>
      </c>
      <c r="B12" s="8">
        <v>8.3333333333333329E-2</v>
      </c>
    </row>
    <row r="13" spans="1:2">
      <c r="A13" s="7" t="s">
        <v>14</v>
      </c>
      <c r="B13" s="8">
        <v>9.0277777777777776E-2</v>
      </c>
    </row>
    <row r="14" spans="1:2">
      <c r="A14" s="7" t="s">
        <v>14</v>
      </c>
      <c r="B14" s="8">
        <v>9.7222222222222224E-2</v>
      </c>
    </row>
    <row r="15" spans="1:2">
      <c r="A15" s="7" t="s">
        <v>14</v>
      </c>
      <c r="B15" s="8">
        <v>0.10416666666666667</v>
      </c>
    </row>
    <row r="16" spans="1:2">
      <c r="A16" s="7" t="s">
        <v>14</v>
      </c>
      <c r="B16" s="8">
        <v>0.1111111111111111</v>
      </c>
    </row>
    <row r="17" spans="1:2">
      <c r="A17" s="7" t="s">
        <v>14</v>
      </c>
      <c r="B17" s="8">
        <v>0.11805555555555557</v>
      </c>
    </row>
    <row r="18" spans="1:2">
      <c r="A18" s="7" t="s">
        <v>14</v>
      </c>
      <c r="B18" s="8">
        <v>0.125</v>
      </c>
    </row>
    <row r="19" spans="1:2">
      <c r="A19" s="7" t="s">
        <v>14</v>
      </c>
      <c r="B19" s="8">
        <v>0.13194444444444445</v>
      </c>
    </row>
    <row r="20" spans="1:2">
      <c r="A20" s="7" t="s">
        <v>14</v>
      </c>
      <c r="B20" s="8">
        <v>0.1388888888888889</v>
      </c>
    </row>
    <row r="21" spans="1:2">
      <c r="A21" s="7" t="s">
        <v>14</v>
      </c>
      <c r="B21" s="8">
        <v>0.14583333333333334</v>
      </c>
    </row>
    <row r="22" spans="1:2">
      <c r="A22" s="7" t="s">
        <v>14</v>
      </c>
      <c r="B22" s="8">
        <v>0.15277777777777776</v>
      </c>
    </row>
    <row r="23" spans="1:2">
      <c r="A23" s="7" t="s">
        <v>14</v>
      </c>
      <c r="B23" s="8">
        <v>0.15972222222222224</v>
      </c>
    </row>
    <row r="24" spans="1:2">
      <c r="A24" s="7" t="s">
        <v>14</v>
      </c>
      <c r="B24" s="8">
        <v>0.16666666666666666</v>
      </c>
    </row>
    <row r="25" spans="1:2">
      <c r="A25" s="7" t="s">
        <v>14</v>
      </c>
      <c r="B25" s="8">
        <v>0.17361111111111113</v>
      </c>
    </row>
    <row r="26" spans="1:2">
      <c r="A26" s="7" t="s">
        <v>14</v>
      </c>
      <c r="B26" s="8">
        <v>0.18055555555555555</v>
      </c>
    </row>
    <row r="27" spans="1:2">
      <c r="A27" s="7" t="s">
        <v>14</v>
      </c>
      <c r="B27" s="8">
        <v>0.1875</v>
      </c>
    </row>
    <row r="28" spans="1:2">
      <c r="A28" s="7" t="s">
        <v>14</v>
      </c>
      <c r="B28" s="8">
        <v>0.19444444444444445</v>
      </c>
    </row>
    <row r="29" spans="1:2">
      <c r="A29" s="7" t="s">
        <v>14</v>
      </c>
      <c r="B29" s="8">
        <v>0.20138888888888887</v>
      </c>
    </row>
    <row r="30" spans="1:2">
      <c r="A30" s="7" t="s">
        <v>14</v>
      </c>
      <c r="B30" s="8">
        <v>0.20833333333333334</v>
      </c>
    </row>
    <row r="31" spans="1:2">
      <c r="A31" s="7" t="s">
        <v>14</v>
      </c>
      <c r="B31" s="8">
        <v>0.21527777777777779</v>
      </c>
    </row>
    <row r="32" spans="1:2">
      <c r="A32" s="7" t="s">
        <v>14</v>
      </c>
      <c r="B32" s="8">
        <v>0.22222222222222221</v>
      </c>
    </row>
    <row r="33" spans="1:2">
      <c r="A33" s="7" t="s">
        <v>14</v>
      </c>
      <c r="B33" s="8">
        <v>0.22916666666666666</v>
      </c>
    </row>
    <row r="34" spans="1:2">
      <c r="A34" s="7" t="s">
        <v>14</v>
      </c>
      <c r="B34" s="8">
        <v>0.23611111111111113</v>
      </c>
    </row>
    <row r="35" spans="1:2">
      <c r="A35" s="7" t="s">
        <v>14</v>
      </c>
      <c r="B35" s="8">
        <v>0.24305555555555555</v>
      </c>
    </row>
    <row r="36" spans="1:2">
      <c r="A36" s="7" t="s">
        <v>14</v>
      </c>
      <c r="B36" s="8">
        <v>0.25</v>
      </c>
    </row>
    <row r="37" spans="1:2">
      <c r="A37" s="7" t="s">
        <v>14</v>
      </c>
      <c r="B37" s="8">
        <v>0.25694444444444448</v>
      </c>
    </row>
    <row r="38" spans="1:2">
      <c r="A38" s="7" t="s">
        <v>14</v>
      </c>
      <c r="B38" s="8">
        <v>0.2638888888888889</v>
      </c>
    </row>
    <row r="39" spans="1:2">
      <c r="A39" s="7" t="s">
        <v>14</v>
      </c>
      <c r="B39" s="8">
        <v>0.27083333333333331</v>
      </c>
    </row>
    <row r="40" spans="1:2">
      <c r="A40" s="7" t="s">
        <v>14</v>
      </c>
      <c r="B40" s="8">
        <v>0.27777777777777779</v>
      </c>
    </row>
    <row r="41" spans="1:2">
      <c r="A41" s="7" t="s">
        <v>14</v>
      </c>
      <c r="B41" s="8">
        <v>0.28472222222222221</v>
      </c>
    </row>
    <row r="42" spans="1:2">
      <c r="A42" s="7" t="s">
        <v>14</v>
      </c>
      <c r="B42" s="8">
        <v>0.29166666666666669</v>
      </c>
    </row>
    <row r="43" spans="1:2">
      <c r="A43" s="7" t="s">
        <v>14</v>
      </c>
      <c r="B43" s="8">
        <v>0.2986111111111111</v>
      </c>
    </row>
    <row r="44" spans="1:2">
      <c r="A44" s="7" t="s">
        <v>14</v>
      </c>
      <c r="B44" s="8">
        <v>0.30555555555555552</v>
      </c>
    </row>
    <row r="45" spans="1:2">
      <c r="A45" s="7" t="s">
        <v>14</v>
      </c>
      <c r="B45" s="8">
        <v>0.3125</v>
      </c>
    </row>
    <row r="46" spans="1:2">
      <c r="A46" s="7" t="s">
        <v>14</v>
      </c>
      <c r="B46" s="8">
        <v>0.31944444444444448</v>
      </c>
    </row>
    <row r="47" spans="1:2">
      <c r="A47" s="7" t="s">
        <v>14</v>
      </c>
      <c r="B47" s="8">
        <v>0.3263888888888889</v>
      </c>
    </row>
    <row r="48" spans="1:2">
      <c r="A48" s="7" t="s">
        <v>14</v>
      </c>
      <c r="B48" s="8">
        <v>0.33333333333333331</v>
      </c>
    </row>
    <row r="49" spans="1:2">
      <c r="A49" s="7" t="s">
        <v>14</v>
      </c>
      <c r="B49" s="8">
        <v>0.34027777777777773</v>
      </c>
    </row>
    <row r="50" spans="1:2">
      <c r="A50" s="7" t="s">
        <v>14</v>
      </c>
      <c r="B50" s="8">
        <v>0.34722222222222227</v>
      </c>
    </row>
    <row r="51" spans="1:2">
      <c r="A51" s="7" t="s">
        <v>14</v>
      </c>
      <c r="B51" s="8">
        <v>0.35416666666666669</v>
      </c>
    </row>
    <row r="52" spans="1:2">
      <c r="A52" s="7" t="s">
        <v>14</v>
      </c>
      <c r="B52" s="8">
        <v>0.3611111111111111</v>
      </c>
    </row>
    <row r="53" spans="1:2">
      <c r="A53" s="7" t="s">
        <v>14</v>
      </c>
      <c r="B53" s="8">
        <v>0.36805555555555558</v>
      </c>
    </row>
    <row r="54" spans="1:2">
      <c r="A54" s="7" t="s">
        <v>14</v>
      </c>
      <c r="B54" s="8">
        <v>0.375</v>
      </c>
    </row>
    <row r="55" spans="1:2">
      <c r="A55" s="7" t="s">
        <v>14</v>
      </c>
      <c r="B55" s="8">
        <v>0.38194444444444442</v>
      </c>
    </row>
    <row r="56" spans="1:2">
      <c r="A56" s="7" t="s">
        <v>14</v>
      </c>
      <c r="B56" s="8">
        <v>0.3888888888888889</v>
      </c>
    </row>
    <row r="57" spans="1:2">
      <c r="A57" s="7" t="s">
        <v>14</v>
      </c>
      <c r="B57" s="8">
        <v>0.39583333333333331</v>
      </c>
    </row>
    <row r="58" spans="1:2">
      <c r="A58" s="7" t="s">
        <v>14</v>
      </c>
      <c r="B58" s="8">
        <v>0.40277777777777773</v>
      </c>
    </row>
    <row r="59" spans="1:2">
      <c r="A59" s="7" t="s">
        <v>14</v>
      </c>
      <c r="B59" s="8">
        <v>0.40972222222222227</v>
      </c>
    </row>
    <row r="60" spans="1:2">
      <c r="A60" s="7" t="s">
        <v>14</v>
      </c>
      <c r="B60" s="8">
        <v>0.41666666666666669</v>
      </c>
    </row>
    <row r="61" spans="1:2">
      <c r="A61" s="7" t="s">
        <v>14</v>
      </c>
      <c r="B61" s="8">
        <v>0.4236111111111111</v>
      </c>
    </row>
    <row r="62" spans="1:2">
      <c r="A62" s="7" t="s">
        <v>14</v>
      </c>
      <c r="B62" s="8">
        <v>0.43055555555555558</v>
      </c>
    </row>
    <row r="63" spans="1:2">
      <c r="A63" s="7" t="s">
        <v>14</v>
      </c>
      <c r="B63" s="8">
        <v>0.4375</v>
      </c>
    </row>
    <row r="64" spans="1:2">
      <c r="A64" s="7" t="s">
        <v>14</v>
      </c>
      <c r="B64" s="8">
        <v>0.44444444444444442</v>
      </c>
    </row>
    <row r="65" spans="1:2">
      <c r="A65" s="7" t="s">
        <v>14</v>
      </c>
      <c r="B65" s="8">
        <v>0.4513888888888889</v>
      </c>
    </row>
    <row r="66" spans="1:2">
      <c r="A66" s="7" t="s">
        <v>14</v>
      </c>
      <c r="B66" s="8">
        <v>0.45833333333333331</v>
      </c>
    </row>
    <row r="67" spans="1:2">
      <c r="A67" s="7" t="s">
        <v>14</v>
      </c>
      <c r="B67" s="8">
        <v>0.46527777777777773</v>
      </c>
    </row>
    <row r="68" spans="1:2">
      <c r="A68" s="7" t="s">
        <v>14</v>
      </c>
      <c r="B68" s="8">
        <v>0.47222222222222227</v>
      </c>
    </row>
    <row r="69" spans="1:2">
      <c r="A69" s="7" t="s">
        <v>14</v>
      </c>
      <c r="B69" s="8">
        <v>0.47916666666666669</v>
      </c>
    </row>
    <row r="70" spans="1:2">
      <c r="A70" s="7" t="s">
        <v>14</v>
      </c>
      <c r="B70" s="8">
        <v>0.4861111111111111</v>
      </c>
    </row>
    <row r="71" spans="1:2">
      <c r="A71" s="7" t="s">
        <v>14</v>
      </c>
      <c r="B71" s="8">
        <v>0.49305555555555558</v>
      </c>
    </row>
    <row r="72" spans="1:2">
      <c r="A72" s="7" t="s">
        <v>14</v>
      </c>
      <c r="B72" s="8">
        <v>0.5</v>
      </c>
    </row>
    <row r="73" spans="1:2">
      <c r="A73" s="7" t="s">
        <v>14</v>
      </c>
      <c r="B73" s="8">
        <v>0.50694444444444442</v>
      </c>
    </row>
    <row r="74" spans="1:2">
      <c r="A74" s="7" t="s">
        <v>14</v>
      </c>
      <c r="B74" s="8">
        <v>0.51388888888888895</v>
      </c>
    </row>
    <row r="75" spans="1:2">
      <c r="A75" s="7" t="s">
        <v>14</v>
      </c>
      <c r="B75" s="8">
        <v>0.52083333333333337</v>
      </c>
    </row>
    <row r="76" spans="1:2">
      <c r="A76" s="7" t="s">
        <v>14</v>
      </c>
      <c r="B76" s="8">
        <v>0.52777777777777779</v>
      </c>
    </row>
    <row r="77" spans="1:2">
      <c r="A77" s="7" t="s">
        <v>14</v>
      </c>
      <c r="B77" s="8">
        <v>0.53472222222222221</v>
      </c>
    </row>
    <row r="78" spans="1:2">
      <c r="A78" s="7" t="s">
        <v>14</v>
      </c>
      <c r="B78" s="8">
        <v>0.54166666666666663</v>
      </c>
    </row>
    <row r="79" spans="1:2">
      <c r="A79" s="7" t="s">
        <v>14</v>
      </c>
      <c r="B79" s="8">
        <v>0.54861111111111105</v>
      </c>
    </row>
    <row r="80" spans="1:2">
      <c r="A80" s="7" t="s">
        <v>14</v>
      </c>
      <c r="B80" s="8">
        <v>0.55555555555555558</v>
      </c>
    </row>
    <row r="81" spans="1:2">
      <c r="A81" s="7" t="s">
        <v>14</v>
      </c>
      <c r="B81" s="8">
        <v>0.5625</v>
      </c>
    </row>
    <row r="82" spans="1:2">
      <c r="A82" s="7" t="s">
        <v>14</v>
      </c>
      <c r="B82" s="8">
        <v>0.56944444444444442</v>
      </c>
    </row>
    <row r="83" spans="1:2">
      <c r="A83" s="7" t="s">
        <v>14</v>
      </c>
      <c r="B83" s="8">
        <v>0.57638888888888895</v>
      </c>
    </row>
    <row r="84" spans="1:2">
      <c r="A84" s="7" t="s">
        <v>14</v>
      </c>
      <c r="B84" s="8">
        <v>0.58333333333333337</v>
      </c>
    </row>
    <row r="85" spans="1:2">
      <c r="A85" s="7" t="s">
        <v>14</v>
      </c>
      <c r="B85" s="8">
        <v>0.59027777777777779</v>
      </c>
    </row>
    <row r="86" spans="1:2">
      <c r="A86" s="7" t="s">
        <v>14</v>
      </c>
      <c r="B86" s="8">
        <v>0.59722222222222221</v>
      </c>
    </row>
    <row r="87" spans="1:2">
      <c r="A87" s="7" t="s">
        <v>14</v>
      </c>
      <c r="B87" s="8">
        <v>0.60416666666666663</v>
      </c>
    </row>
    <row r="88" spans="1:2">
      <c r="A88" s="7" t="s">
        <v>14</v>
      </c>
      <c r="B88" s="8">
        <v>0.61111111111111105</v>
      </c>
    </row>
    <row r="89" spans="1:2">
      <c r="A89" s="7" t="s">
        <v>14</v>
      </c>
      <c r="B89" s="8">
        <v>0.61805555555555558</v>
      </c>
    </row>
    <row r="90" spans="1:2">
      <c r="A90" s="7" t="s">
        <v>14</v>
      </c>
      <c r="B90" s="8">
        <v>0.625</v>
      </c>
    </row>
    <row r="91" spans="1:2">
      <c r="A91" s="7" t="s">
        <v>14</v>
      </c>
      <c r="B91" s="8">
        <v>0.63194444444444442</v>
      </c>
    </row>
    <row r="92" spans="1:2">
      <c r="A92" s="7" t="s">
        <v>14</v>
      </c>
      <c r="B92" s="8">
        <v>0.63888888888888895</v>
      </c>
    </row>
    <row r="93" spans="1:2">
      <c r="A93" s="7" t="s">
        <v>14</v>
      </c>
      <c r="B93" s="8">
        <v>0.64583333333333337</v>
      </c>
    </row>
    <row r="94" spans="1:2">
      <c r="A94" s="7" t="s">
        <v>14</v>
      </c>
      <c r="B94" s="8">
        <v>0.65277777777777779</v>
      </c>
    </row>
    <row r="95" spans="1:2">
      <c r="A95" s="7" t="s">
        <v>14</v>
      </c>
      <c r="B95" s="8">
        <v>0.65972222222222221</v>
      </c>
    </row>
    <row r="96" spans="1:2">
      <c r="A96" s="7" t="s">
        <v>14</v>
      </c>
      <c r="B96" s="8">
        <v>0.66666666666666663</v>
      </c>
    </row>
    <row r="97" spans="1:2">
      <c r="A97" s="7" t="s">
        <v>14</v>
      </c>
      <c r="B97" s="8">
        <v>0.67361111111111116</v>
      </c>
    </row>
    <row r="98" spans="1:2">
      <c r="A98" s="7" t="s">
        <v>14</v>
      </c>
      <c r="B98" s="8">
        <v>0.68055555555555547</v>
      </c>
    </row>
    <row r="99" spans="1:2">
      <c r="A99" s="7" t="s">
        <v>14</v>
      </c>
      <c r="B99" s="8">
        <v>0.6875</v>
      </c>
    </row>
    <row r="100" spans="1:2">
      <c r="A100" s="7" t="s">
        <v>14</v>
      </c>
      <c r="B100" s="8">
        <v>0.69444444444444453</v>
      </c>
    </row>
    <row r="101" spans="1:2">
      <c r="A101" s="7" t="s">
        <v>14</v>
      </c>
      <c r="B101" s="8">
        <v>0.70138888888888884</v>
      </c>
    </row>
    <row r="102" spans="1:2">
      <c r="A102" s="7" t="s">
        <v>14</v>
      </c>
      <c r="B102" s="8">
        <v>0.70833333333333337</v>
      </c>
    </row>
    <row r="103" spans="1:2">
      <c r="A103" s="7" t="s">
        <v>14</v>
      </c>
      <c r="B103" s="8">
        <v>0.71527777777777779</v>
      </c>
    </row>
    <row r="104" spans="1:2">
      <c r="A104" s="7" t="s">
        <v>14</v>
      </c>
      <c r="B104" s="8">
        <v>0.72222222222222221</v>
      </c>
    </row>
    <row r="105" spans="1:2">
      <c r="A105" s="7" t="s">
        <v>14</v>
      </c>
      <c r="B105" s="8">
        <v>0.72916666666666663</v>
      </c>
    </row>
    <row r="106" spans="1:2">
      <c r="A106" s="7" t="s">
        <v>14</v>
      </c>
      <c r="B106" s="8">
        <v>0.73611111111111116</v>
      </c>
    </row>
    <row r="107" spans="1:2">
      <c r="A107" s="7" t="s">
        <v>14</v>
      </c>
      <c r="B107" s="8">
        <v>0.74305555555555547</v>
      </c>
    </row>
    <row r="108" spans="1:2">
      <c r="A108" s="7" t="s">
        <v>14</v>
      </c>
      <c r="B108" s="8">
        <v>0.75</v>
      </c>
    </row>
    <row r="109" spans="1:2">
      <c r="A109" s="7" t="s">
        <v>14</v>
      </c>
      <c r="B109" s="8">
        <v>0.75694444444444453</v>
      </c>
    </row>
    <row r="110" spans="1:2">
      <c r="A110" s="7" t="s">
        <v>14</v>
      </c>
      <c r="B110" s="8">
        <v>0.76388888888888884</v>
      </c>
    </row>
    <row r="111" spans="1:2">
      <c r="A111" s="7" t="s">
        <v>14</v>
      </c>
      <c r="B111" s="8">
        <v>0.77083333333333337</v>
      </c>
    </row>
    <row r="112" spans="1:2">
      <c r="A112" s="7" t="s">
        <v>14</v>
      </c>
      <c r="B112" s="8">
        <v>0.77777777777777779</v>
      </c>
    </row>
    <row r="113" spans="1:2">
      <c r="A113" s="7" t="s">
        <v>14</v>
      </c>
      <c r="B113" s="8">
        <v>0.78472222222222221</v>
      </c>
    </row>
    <row r="114" spans="1:2">
      <c r="A114" s="7" t="s">
        <v>14</v>
      </c>
      <c r="B114" s="8">
        <v>0.79166666666666663</v>
      </c>
    </row>
    <row r="115" spans="1:2">
      <c r="A115" s="7" t="s">
        <v>14</v>
      </c>
      <c r="B115" s="8">
        <v>0.79861111111111116</v>
      </c>
    </row>
    <row r="116" spans="1:2">
      <c r="A116" s="7" t="s">
        <v>14</v>
      </c>
      <c r="B116" s="8">
        <v>0.80555555555555547</v>
      </c>
    </row>
    <row r="117" spans="1:2">
      <c r="A117" s="7" t="s">
        <v>14</v>
      </c>
      <c r="B117" s="8">
        <v>0.8125</v>
      </c>
    </row>
    <row r="118" spans="1:2">
      <c r="A118" s="7" t="s">
        <v>14</v>
      </c>
      <c r="B118" s="8">
        <v>0.81944444444444453</v>
      </c>
    </row>
    <row r="119" spans="1:2">
      <c r="A119" s="7" t="s">
        <v>14</v>
      </c>
      <c r="B119" s="8">
        <v>0.82638888888888884</v>
      </c>
    </row>
    <row r="120" spans="1:2">
      <c r="A120" s="7" t="s">
        <v>14</v>
      </c>
      <c r="B120" s="8">
        <v>0.83333333333333337</v>
      </c>
    </row>
    <row r="121" spans="1:2">
      <c r="A121" s="7" t="s">
        <v>14</v>
      </c>
      <c r="B121" s="8">
        <v>0.84027777777777779</v>
      </c>
    </row>
    <row r="122" spans="1:2">
      <c r="A122" s="7" t="s">
        <v>14</v>
      </c>
      <c r="B122" s="8">
        <v>0.84722222222222221</v>
      </c>
    </row>
    <row r="123" spans="1:2">
      <c r="A123" s="7" t="s">
        <v>14</v>
      </c>
      <c r="B123" s="8">
        <v>0.85416666666666663</v>
      </c>
    </row>
    <row r="124" spans="1:2">
      <c r="A124" s="7" t="s">
        <v>14</v>
      </c>
      <c r="B124" s="8">
        <v>0.86111111111111116</v>
      </c>
    </row>
    <row r="125" spans="1:2">
      <c r="A125" s="7" t="s">
        <v>14</v>
      </c>
      <c r="B125" s="8">
        <v>0.86805555555555547</v>
      </c>
    </row>
    <row r="126" spans="1:2">
      <c r="A126" s="7" t="s">
        <v>14</v>
      </c>
      <c r="B126" s="8">
        <v>0.875</v>
      </c>
    </row>
    <row r="127" spans="1:2">
      <c r="A127" s="7" t="s">
        <v>14</v>
      </c>
      <c r="B127" s="8">
        <v>0.88194444444444453</v>
      </c>
    </row>
    <row r="128" spans="1:2">
      <c r="A128" s="7" t="s">
        <v>14</v>
      </c>
      <c r="B128" s="8">
        <v>0.88888888888888884</v>
      </c>
    </row>
    <row r="129" spans="1:2">
      <c r="A129" s="7" t="s">
        <v>14</v>
      </c>
      <c r="B129" s="8">
        <v>0.89583333333333337</v>
      </c>
    </row>
    <row r="130" spans="1:2">
      <c r="A130" s="7" t="s">
        <v>14</v>
      </c>
      <c r="B130" s="8">
        <v>0.90277777777777779</v>
      </c>
    </row>
    <row r="131" spans="1:2">
      <c r="A131" s="7" t="s">
        <v>14</v>
      </c>
      <c r="B131" s="8">
        <v>0.90972222222222221</v>
      </c>
    </row>
    <row r="132" spans="1:2">
      <c r="A132" s="7" t="s">
        <v>14</v>
      </c>
      <c r="B132" s="8">
        <v>0.91666666666666663</v>
      </c>
    </row>
    <row r="133" spans="1:2">
      <c r="A133" s="7" t="s">
        <v>14</v>
      </c>
      <c r="B133" s="8">
        <v>0.92361111111111116</v>
      </c>
    </row>
    <row r="134" spans="1:2">
      <c r="A134" s="7" t="s">
        <v>14</v>
      </c>
      <c r="B134" s="8">
        <v>0.93055555555555547</v>
      </c>
    </row>
    <row r="135" spans="1:2">
      <c r="A135" s="7" t="s">
        <v>14</v>
      </c>
      <c r="B135" s="8">
        <v>0.9375</v>
      </c>
    </row>
    <row r="136" spans="1:2">
      <c r="A136" s="7" t="s">
        <v>14</v>
      </c>
      <c r="B136" s="8">
        <v>0.94444444444444453</v>
      </c>
    </row>
    <row r="137" spans="1:2">
      <c r="A137" s="7" t="s">
        <v>14</v>
      </c>
      <c r="B137" s="8">
        <v>0.95138888888888884</v>
      </c>
    </row>
    <row r="138" spans="1:2">
      <c r="A138" s="7" t="s">
        <v>14</v>
      </c>
      <c r="B138" s="8">
        <v>0.95833333333333337</v>
      </c>
    </row>
    <row r="139" spans="1:2">
      <c r="A139" s="7" t="s">
        <v>14</v>
      </c>
      <c r="B139" s="8">
        <v>0.96527777777777779</v>
      </c>
    </row>
    <row r="140" spans="1:2">
      <c r="A140" s="7" t="s">
        <v>14</v>
      </c>
      <c r="B140" s="8">
        <v>0.97222222222222221</v>
      </c>
    </row>
    <row r="141" spans="1:2">
      <c r="A141" s="7" t="s">
        <v>14</v>
      </c>
      <c r="B141" s="8">
        <v>0.97916666666666663</v>
      </c>
    </row>
    <row r="142" spans="1:2">
      <c r="A142" s="7" t="s">
        <v>14</v>
      </c>
      <c r="B142" s="8">
        <v>0.98611111111111116</v>
      </c>
    </row>
    <row r="143" spans="1:2">
      <c r="A143" s="7" t="s">
        <v>14</v>
      </c>
      <c r="B143" s="8">
        <v>0.99305555555555547</v>
      </c>
    </row>
    <row r="144" spans="1:2">
      <c r="A144" s="7" t="s">
        <v>15</v>
      </c>
      <c r="B144" s="8">
        <v>0</v>
      </c>
    </row>
  </sheetData>
  <sheetProtection algorithmName="SHA-512" hashValue="jc0B7fLcIs7Ao7pFgjcd0e0bqMnERxnyyYtww3QPtZHEmQQxi872dlrXEhnJcjFZKBtumT+qCkWRBRNCqC8WOA==" saltValue="QyMLmQq4jV0cW+UQ05e9Ww==" spinCount="100000" sheet="1" objects="1" scenarios="1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"/>
  <sheetViews>
    <sheetView zoomScaleNormal="100" workbookViewId="0">
      <selection activeCell="J23" sqref="J23"/>
    </sheetView>
  </sheetViews>
  <sheetFormatPr defaultRowHeight="1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計算程式主頁面</vt:lpstr>
      <vt:lpstr>rainfall</vt:lpstr>
      <vt:lpstr>subcatchment</vt:lpstr>
      <vt:lpstr>separate</vt:lpstr>
      <vt:lpstr>times</vt:lpstr>
      <vt:lpstr>(計算紙)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陳麒如</dc:creator>
  <cp:lastModifiedBy>陳麒如</cp:lastModifiedBy>
  <dcterms:created xsi:type="dcterms:W3CDTF">2015-06-05T18:19:34Z</dcterms:created>
  <dcterms:modified xsi:type="dcterms:W3CDTF">2021-09-04T01:30:02Z</dcterms:modified>
</cp:coreProperties>
</file>